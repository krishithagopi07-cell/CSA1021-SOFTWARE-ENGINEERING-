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Matrix" sheetId="1" state="visible" r:id="rId3"/>
    <sheet name="Summary" sheetId="2" state="visible" r:id="rId4"/>
    <sheet name="Jira 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<sst xmlns="http://schemas.openxmlformats.org/spreadsheetml/2006/main" count="125" uniqueCount="99">
  <si>
    <t xml:space="preserve">Library Management System – MoSCoW Prioritisation</t>
  </si>
  <si>
    <t xml:space="preserve">Scoring: Impact (1-5) = value to users &amp; stakeholders; Feasibility (1-5) = ease given time, budget, team. Priority Score = Impact x Feasibility (formula). Blue cells = judgement inputs you can change.</t>
  </si>
  <si>
    <t xml:space="preserve">ID</t>
  </si>
  <si>
    <t xml:space="preserve">Requirement</t>
  </si>
  <si>
    <t xml:space="preserve">Description</t>
  </si>
  <si>
    <t xml:space="preserve">Impact (1-5)</t>
  </si>
  <si>
    <t xml:space="preserve">Feasibility (1-5)</t>
  </si>
  <si>
    <t xml:space="preserve">Priority Score</t>
  </si>
  <si>
    <t xml:space="preserve">MoSCoW Category</t>
  </si>
  <si>
    <t xml:space="preserve">Impact Justification (Users &amp; Stakeholders)</t>
  </si>
  <si>
    <t xml:space="preserve">Feasibility Justification (Time / Budget / Resources)</t>
  </si>
  <si>
    <t xml:space="preserve">Final Decision Rationale</t>
  </si>
  <si>
    <t xml:space="preserve">Target Release</t>
  </si>
  <si>
    <t xml:space="preserve">REQ-01</t>
  </si>
  <si>
    <t xml:space="preserve">Search books by title and author</t>
  </si>
  <si>
    <t xml:space="preserve">Keyword search across catalogue by book title and author name.</t>
  </si>
  <si>
    <t xml:space="preserve">Must Have</t>
  </si>
  <si>
    <t xml:space="preserve">Every member and librarian uses it on every visit; without it the catalogue is unusable.</t>
  </si>
  <si>
    <t xml:space="preserve">Standard database query / indexed search; low effort, no third-party cost, 1 developer, 1 sprint.</t>
  </si>
  <si>
    <t xml:space="preserve">Highest value and lowest effort. Core function – system cannot launch without it.</t>
  </si>
  <si>
    <t xml:space="preserve">Release 1 (MVP)</t>
  </si>
  <si>
    <t xml:space="preserve">REQ-02</t>
  </si>
  <si>
    <t xml:space="preserve">Online book reservation system</t>
  </si>
  <si>
    <t xml:space="preserve">Members reserve a book that is out/available and get a hold until pickup.</t>
  </si>
  <si>
    <t xml:space="preserve">Core library workflow; reduces queues and manual registers; directly serves members and librarians.</t>
  </si>
  <si>
    <t xml:space="preserve">Needs reservation table, status rules, expiry logic; moderate effort, no external cost.</t>
  </si>
  <si>
    <t xml:space="preserve">Essential to the library lifecycle (search &gt; reserve &gt; borrow). Needed for a usable MVP.</t>
  </si>
  <si>
    <t xml:space="preserve">REQ-03</t>
  </si>
  <si>
    <t xml:space="preserve">Email notifications for overdue books</t>
  </si>
  <si>
    <t xml:space="preserve">Automatic emails on due-soon and overdue items.</t>
  </si>
  <si>
    <t xml:space="preserve">Protects library assets and fines revenue; reduces librarian manual follow-up; members avoid penalties.</t>
  </si>
  <si>
    <t xml:space="preserve">Scheduled job + SMTP/SendGrid free tier; low-moderate effort and cost.</t>
  </si>
  <si>
    <t xml:space="preserve">Overdue control is a core business need, and it is cheap to automate. Included in MVP.</t>
  </si>
  <si>
    <t xml:space="preserve">REQ-04</t>
  </si>
  <si>
    <t xml:space="preserve">Monthly borrowing reports for administrators</t>
  </si>
  <si>
    <t xml:space="preserve">Auto-generated monthly report of borrowed books (exportable PDF/Excel).</t>
  </si>
  <si>
    <t xml:space="preserve">Should Have</t>
  </si>
  <si>
    <t xml:space="preserve">Administrators need it for stock and budget decisions, but the library can run without it at launch.</t>
  </si>
  <si>
    <t xml:space="preserve">Aggregation queries + export library; moderate effort once borrowing data exists.</t>
  </si>
  <si>
    <t xml:space="preserve">Important but depends on borrowing data from Must items. Can be delivered shortly after MVP.</t>
  </si>
  <si>
    <t xml:space="preserve">Release 2</t>
  </si>
  <si>
    <t xml:space="preserve">REQ-05</t>
  </si>
  <si>
    <t xml:space="preserve">User-friendly dashboard for librarians</t>
  </si>
  <si>
    <t xml:space="preserve">Single screen showing issues, returns, overdue, reservations, quick actions.</t>
  </si>
  <si>
    <t xml:space="preserve">Improves librarian productivity and training time; high stakeholder satisfaction.</t>
  </si>
  <si>
    <t xml:space="preserve">Needs UX design and several widgets; moderate effort. Basic admin screens cover MVP.</t>
  </si>
  <si>
    <t xml:space="preserve">Valuable but MVP can use simple admin lists first; full dashboard follows.</t>
  </si>
  <si>
    <t xml:space="preserve">REQ-06</t>
  </si>
  <si>
    <t xml:space="preserve">QR code scanning for borrowing and returning</t>
  </si>
  <si>
    <t xml:space="preserve">Scan book/member QR codes to issue and return books.</t>
  </si>
  <si>
    <t xml:space="preserve">Speeds up desk transactions and cuts data-entry errors.</t>
  </si>
  <si>
    <t xml:space="preserve">Needs QR generation, label printing and camera/scanner integration; moderate effort and some hardware cost.</t>
  </si>
  <si>
    <t xml:space="preserve">Big efficiency gain, but manual/ID entry works at launch. Schedule after core flows are stable.</t>
  </si>
  <si>
    <t xml:space="preserve">REQ-07</t>
  </si>
  <si>
    <t xml:space="preserve">Users can review and rate books</t>
  </si>
  <si>
    <t xml:space="preserve">Star ratings and text reviews per book.</t>
  </si>
  <si>
    <t xml:space="preserve">Could Have</t>
  </si>
  <si>
    <t xml:space="preserve">Improves engagement and discovery but is not needed for lending operations.</t>
  </si>
  <si>
    <t xml:space="preserve">Simple CRUD plus moderation; low effort.</t>
  </si>
  <si>
    <t xml:space="preserve">Nice-to-have; add if time and budget remain after Must/Should items.</t>
  </si>
  <si>
    <t xml:space="preserve">Release 3</t>
  </si>
  <si>
    <t xml:space="preserve">REQ-08</t>
  </si>
  <si>
    <t xml:space="preserve">Multi-language support</t>
  </si>
  <si>
    <t xml:space="preserve">UI available in multiple languages (e.g. English, Tamil, Hindi).</t>
  </si>
  <si>
    <t xml:space="preserve">Widens accessibility for diverse users; not critical if the primary user base shares one language.</t>
  </si>
  <si>
    <t xml:space="preserve">Requires i18n framework from the start and translation effort; moderate cost.</t>
  </si>
  <si>
    <t xml:space="preserve">Beneficial but not essential at launch. Build text with i18n keys so it can be added later cheaply.</t>
  </si>
  <si>
    <t xml:space="preserve">REQ-09</t>
  </si>
  <si>
    <t xml:space="preserve">Chatbot for user assistance</t>
  </si>
  <si>
    <t xml:space="preserve">AI/FAQ chatbot answering member queries.</t>
  </si>
  <si>
    <t xml:space="preserve">Won't Have (this time)</t>
  </si>
  <si>
    <t xml:space="preserve">Convenient, but FAQs, search and librarian help cover the need.</t>
  </si>
  <si>
    <t xml:space="preserve">High effort: NLP/AI service, training content, ongoing cost and maintenance.</t>
  </si>
  <si>
    <t xml:space="preserve">Low impact for high cost. Deferred; revisit once usage data justifies it.</t>
  </si>
  <si>
    <t xml:space="preserve">Backlog / Future</t>
  </si>
  <si>
    <t xml:space="preserve">REQ-10</t>
  </si>
  <si>
    <t xml:space="preserve">Mobile app version of the system</t>
  </si>
  <si>
    <t xml:space="preserve">Native iOS/Android app.</t>
  </si>
  <si>
    <t xml:space="preserve">Useful for members, but a responsive website serves mobile users initially.</t>
  </si>
  <si>
    <t xml:space="preserve">Very high effort: separate codebases, app-store process, extra team and budget.</t>
  </si>
  <si>
    <t xml:space="preserve">Not feasible within current time/budget. Mitigation: make the web app mobile-responsive; plan app for a later phase.</t>
  </si>
  <si>
    <t xml:space="preserve">Assumptions: small team (3-5 people), limited budget, ~3 releases; scores are team judgement and can be edited (blue cells). Category is chosen by judgement guided by Priority Score (&gt;=16 Must, 12-15 Should, 9-11 Could, &lt;9 Won't) with dependencies considered.</t>
  </si>
  <si>
    <t xml:space="preserve">MoSCoW Summary</t>
  </si>
  <si>
    <t xml:space="preserve">Category</t>
  </si>
  <si>
    <t xml:space="preserve">No. of Requirements</t>
  </si>
  <si>
    <t xml:space="preserve">Share of Total</t>
  </si>
  <si>
    <t xml:space="preserve">Requirements</t>
  </si>
  <si>
    <t xml:space="preserve">Search; Reservation; Overdue email alerts</t>
  </si>
  <si>
    <t xml:space="preserve">Monthly reports; Librarian dashboard; QR scanning</t>
  </si>
  <si>
    <t xml:space="preserve">Reviews &amp; ratings; Multi-language</t>
  </si>
  <si>
    <t xml:space="preserve">Chatbot; Mobile app (use responsive web)</t>
  </si>
  <si>
    <t xml:space="preserve">Total</t>
  </si>
  <si>
    <t xml:space="preserve">Summary</t>
  </si>
  <si>
    <t xml:space="preserve">Issue Type</t>
  </si>
  <si>
    <t xml:space="preserve">Priority</t>
  </si>
  <si>
    <t xml:space="preserve">Labels</t>
  </si>
  <si>
    <t xml:space="preserve">Epic Name / Parent</t>
  </si>
  <si>
    <t xml:space="preserve">Story</t>
  </si>
  <si>
    <t xml:space="preserve">Use: File &gt; Save As CSV from this sheet, then import in Jira (see steps). Labels are Must / Should / Could / Wont (Jira labels cannot contain spaces or apostrophes).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</si>
</sst>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10" min="8" style="0" width="42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78" hidden="false" customHeight="true" outlineLevel="0" collapsed="false">
      <c r="A5" s="4" t="s">
        <v>13</v>
      </c>
      <c r="B5" s="5" t="s">
        <v>14</v>
      </c>
      <c r="C5" s="5" t="s">
        <v>15</v>
      </c>
      <c r="D5" s="6" t="n">
        <v>5</v>
      </c>
      <c r="E5" s="6" t="n">
        <v>5</v>
      </c>
      <c r="F5" s="4" t="n">
        <f aca="false">D5*E5</f>
        <v>25</v>
      </c>
      <c r="G5" s="7" t="s">
        <v>16</v>
      </c>
      <c r="H5" s="5" t="s">
        <v>17</v>
      </c>
      <c r="I5" s="5" t="s">
        <v>18</v>
      </c>
      <c r="J5" s="5" t="s">
        <v>19</v>
      </c>
      <c r="K5" s="4" t="s">
        <v>20</v>
      </c>
    </row>
    <row r="6" customFormat="false" ht="78" hidden="false" customHeight="true" outlineLevel="0" collapsed="false">
      <c r="A6" s="4" t="s">
        <v>21</v>
      </c>
      <c r="B6" s="5" t="s">
        <v>22</v>
      </c>
      <c r="C6" s="5" t="s">
        <v>23</v>
      </c>
      <c r="D6" s="6" t="n">
        <v>5</v>
      </c>
      <c r="E6" s="6" t="n">
        <v>4</v>
      </c>
      <c r="F6" s="4" t="n">
        <f aca="false">D6*E6</f>
        <v>20</v>
      </c>
      <c r="G6" s="7" t="s">
        <v>16</v>
      </c>
      <c r="H6" s="5" t="s">
        <v>24</v>
      </c>
      <c r="I6" s="5" t="s">
        <v>25</v>
      </c>
      <c r="J6" s="5" t="s">
        <v>26</v>
      </c>
      <c r="K6" s="4" t="s">
        <v>20</v>
      </c>
    </row>
    <row r="7" customFormat="false" ht="78" hidden="false" customHeight="true" outlineLevel="0" collapsed="false">
      <c r="A7" s="4" t="s">
        <v>27</v>
      </c>
      <c r="B7" s="5" t="s">
        <v>28</v>
      </c>
      <c r="C7" s="5" t="s">
        <v>29</v>
      </c>
      <c r="D7" s="6" t="n">
        <v>4</v>
      </c>
      <c r="E7" s="6" t="n">
        <v>4</v>
      </c>
      <c r="F7" s="4" t="n">
        <f aca="false">D7*E7</f>
        <v>16</v>
      </c>
      <c r="G7" s="7" t="s">
        <v>16</v>
      </c>
      <c r="H7" s="5" t="s">
        <v>30</v>
      </c>
      <c r="I7" s="5" t="s">
        <v>31</v>
      </c>
      <c r="J7" s="5" t="s">
        <v>32</v>
      </c>
      <c r="K7" s="4" t="s">
        <v>20</v>
      </c>
    </row>
    <row r="8" customFormat="false" ht="78" hidden="false" customHeight="true" outlineLevel="0" collapsed="false">
      <c r="A8" s="4" t="s">
        <v>33</v>
      </c>
      <c r="B8" s="5" t="s">
        <v>34</v>
      </c>
      <c r="C8" s="5" t="s">
        <v>35</v>
      </c>
      <c r="D8" s="6" t="n">
        <v>4</v>
      </c>
      <c r="E8" s="6" t="n">
        <v>4</v>
      </c>
      <c r="F8" s="4" t="n">
        <f aca="false">D8*E8</f>
        <v>16</v>
      </c>
      <c r="G8" s="7" t="s">
        <v>36</v>
      </c>
      <c r="H8" s="5" t="s">
        <v>37</v>
      </c>
      <c r="I8" s="5" t="s">
        <v>38</v>
      </c>
      <c r="J8" s="5" t="s">
        <v>39</v>
      </c>
      <c r="K8" s="4" t="s">
        <v>40</v>
      </c>
    </row>
    <row r="9" customFormat="false" ht="78" hidden="false" customHeight="true" outlineLevel="0" collapsed="false">
      <c r="A9" s="4" t="s">
        <v>41</v>
      </c>
      <c r="B9" s="5" t="s">
        <v>42</v>
      </c>
      <c r="C9" s="5" t="s">
        <v>43</v>
      </c>
      <c r="D9" s="6" t="n">
        <v>4</v>
      </c>
      <c r="E9" s="6" t="n">
        <v>3</v>
      </c>
      <c r="F9" s="4" t="n">
        <f aca="false">D9*E9</f>
        <v>12</v>
      </c>
      <c r="G9" s="7" t="s">
        <v>36</v>
      </c>
      <c r="H9" s="5" t="s">
        <v>44</v>
      </c>
      <c r="I9" s="5" t="s">
        <v>45</v>
      </c>
      <c r="J9" s="5" t="s">
        <v>46</v>
      </c>
      <c r="K9" s="4" t="s">
        <v>40</v>
      </c>
    </row>
    <row r="10" customFormat="false" ht="78" hidden="false" customHeight="true" outlineLevel="0" collapsed="false">
      <c r="A10" s="4" t="s">
        <v>47</v>
      </c>
      <c r="B10" s="5" t="s">
        <v>48</v>
      </c>
      <c r="C10" s="5" t="s">
        <v>49</v>
      </c>
      <c r="D10" s="6" t="n">
        <v>4</v>
      </c>
      <c r="E10" s="6" t="n">
        <v>3</v>
      </c>
      <c r="F10" s="4" t="n">
        <f aca="false">D10*E10</f>
        <v>12</v>
      </c>
      <c r="G10" s="7" t="s">
        <v>36</v>
      </c>
      <c r="H10" s="5" t="s">
        <v>50</v>
      </c>
      <c r="I10" s="5" t="s">
        <v>51</v>
      </c>
      <c r="J10" s="5" t="s">
        <v>52</v>
      </c>
      <c r="K10" s="4" t="s">
        <v>40</v>
      </c>
    </row>
    <row r="11" customFormat="false" ht="78" hidden="false" customHeight="true" outlineLevel="0" collapsed="false">
      <c r="A11" s="4" t="s">
        <v>53</v>
      </c>
      <c r="B11" s="5" t="s">
        <v>54</v>
      </c>
      <c r="C11" s="5" t="s">
        <v>55</v>
      </c>
      <c r="D11" s="6" t="n">
        <v>3</v>
      </c>
      <c r="E11" s="6" t="n">
        <v>4</v>
      </c>
      <c r="F11" s="4" t="n">
        <f aca="false">D11*E11</f>
        <v>12</v>
      </c>
      <c r="G11" s="7" t="s">
        <v>56</v>
      </c>
      <c r="H11" s="5" t="s">
        <v>57</v>
      </c>
      <c r="I11" s="5" t="s">
        <v>58</v>
      </c>
      <c r="J11" s="5" t="s">
        <v>59</v>
      </c>
      <c r="K11" s="4" t="s">
        <v>60</v>
      </c>
    </row>
    <row r="12" customFormat="false" ht="78" hidden="false" customHeight="true" outlineLevel="0" collapsed="false">
      <c r="A12" s="4" t="s">
        <v>61</v>
      </c>
      <c r="B12" s="5" t="s">
        <v>62</v>
      </c>
      <c r="C12" s="5" t="s">
        <v>63</v>
      </c>
      <c r="D12" s="6" t="n">
        <v>3</v>
      </c>
      <c r="E12" s="6" t="n">
        <v>3</v>
      </c>
      <c r="F12" s="4" t="n">
        <f aca="false">D12*E12</f>
        <v>9</v>
      </c>
      <c r="G12" s="7" t="s">
        <v>56</v>
      </c>
      <c r="H12" s="5" t="s">
        <v>64</v>
      </c>
      <c r="I12" s="5" t="s">
        <v>65</v>
      </c>
      <c r="J12" s="5" t="s">
        <v>66</v>
      </c>
      <c r="K12" s="4" t="s">
        <v>60</v>
      </c>
    </row>
    <row r="13" customFormat="false" ht="78" hidden="false" customHeight="true" outlineLevel="0" collapsed="false">
      <c r="A13" s="4" t="s">
        <v>67</v>
      </c>
      <c r="B13" s="5" t="s">
        <v>68</v>
      </c>
      <c r="C13" s="5" t="s">
        <v>69</v>
      </c>
      <c r="D13" s="6" t="n">
        <v>2</v>
      </c>
      <c r="E13" s="6" t="n">
        <v>2</v>
      </c>
      <c r="F13" s="4" t="n">
        <f aca="false">D13*E13</f>
        <v>4</v>
      </c>
      <c r="G13" s="7" t="s">
        <v>70</v>
      </c>
      <c r="H13" s="5" t="s">
        <v>71</v>
      </c>
      <c r="I13" s="5" t="s">
        <v>72</v>
      </c>
      <c r="J13" s="5" t="s">
        <v>73</v>
      </c>
      <c r="K13" s="4" t="s">
        <v>74</v>
      </c>
    </row>
    <row r="14" customFormat="false" ht="78" hidden="false" customHeight="true" outlineLevel="0" collapsed="false">
      <c r="A14" s="4" t="s">
        <v>75</v>
      </c>
      <c r="B14" s="5" t="s">
        <v>76</v>
      </c>
      <c r="C14" s="5" t="s">
        <v>77</v>
      </c>
      <c r="D14" s="6" t="n">
        <v>4</v>
      </c>
      <c r="E14" s="6" t="n">
        <v>1</v>
      </c>
      <c r="F14" s="4" t="n">
        <f aca="false">D14*E14</f>
        <v>4</v>
      </c>
      <c r="G14" s="7" t="s">
        <v>70</v>
      </c>
      <c r="H14" s="5" t="s">
        <v>78</v>
      </c>
      <c r="I14" s="5" t="s">
        <v>79</v>
      </c>
      <c r="J14" s="5" t="s">
        <v>80</v>
      </c>
      <c r="K14" s="4" t="s">
        <v>74</v>
      </c>
    </row>
    <row r="16" customFormat="false" ht="30" hidden="false" customHeight="true" outlineLevel="0" collapsed="false">
      <c r="A16" s="2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mergeCells count="2">
    <mergeCell ref="A2:K2"/>
    <mergeCell ref="A16:K16"/>
  </mergeCells>
  <conditionalFormatting sqref="G5:G14">
    <cfRule type="cellIs" priority="2" operator="equal" aboveAverage="0" equalAverage="0" bottom="0" percent="0" rank="0" text="" dxfId="0">
      <formula>"Must Have"</formula>
    </cfRule>
    <cfRule type="cellIs" priority="3" operator="equal" aboveAverage="0" equalAverage="0" bottom="0" percent="0" rank="0" text="" dxfId="1">
      <formula>"Should Have"</formula>
    </cfRule>
    <cfRule type="cellIs" priority="4" operator="equal" aboveAverage="0" equalAverage="0" bottom="0" percent="0" rank="0" text="" dxfId="2">
      <formula>"Could Have"</formula>
    </cfRule>
    <cfRule type="cellIs" priority="5" operator="equal" aboveAverage="0" equalAverage="0" bottom="0" percent="0" rank="0" text="" dxfId="3">
      <formula>"Won't Have (this time)"</formula>
    </cfRule>
  </conditionalFormatting>
  <dataValidations count="1">
    <dataValidation allowBlank="false" errorStyle="stop" operator="between" showDropDown="false" showErrorMessage="false" showInputMessage="false" sqref="G5:G14" type="list">
      <formula1>"Must Have,Should Have,Could Have,Won't Have (this time)"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8" t="s">
        <v>83</v>
      </c>
      <c r="B3" s="8" t="s">
        <v>84</v>
      </c>
      <c r="C3" s="8" t="s">
        <v>85</v>
      </c>
      <c r="D3" s="8" t="s">
        <v>86</v>
      </c>
    </row>
    <row r="4" customFormat="false" ht="15" hidden="false" customHeight="false" outlineLevel="0" collapsed="false">
      <c r="A4" s="9" t="s">
        <v>16</v>
      </c>
      <c r="B4" s="9" t="n">
        <f aca="false">COUNTIF('MoSCoW Matrix'!$G$5:$G$14,A4)</f>
        <v>3</v>
      </c>
      <c r="C4" s="10" t="n">
        <f aca="false">B4/$B$8</f>
        <v>0.3</v>
      </c>
      <c r="D4" s="9" t="s">
        <v>87</v>
      </c>
    </row>
    <row r="5" customFormat="false" ht="15" hidden="false" customHeight="false" outlineLevel="0" collapsed="false">
      <c r="A5" s="9" t="s">
        <v>36</v>
      </c>
      <c r="B5" s="9" t="n">
        <f aca="false">COUNTIF('MoSCoW Matrix'!$G$5:$G$14,A5)</f>
        <v>3</v>
      </c>
      <c r="C5" s="10" t="n">
        <f aca="false">B5/$B$8</f>
        <v>0.3</v>
      </c>
      <c r="D5" s="9" t="s">
        <v>88</v>
      </c>
    </row>
    <row r="6" customFormat="false" ht="15" hidden="false" customHeight="false" outlineLevel="0" collapsed="false">
      <c r="A6" s="9" t="s">
        <v>56</v>
      </c>
      <c r="B6" s="9" t="n">
        <f aca="false">COUNTIF('MoSCoW Matrix'!$G$5:$G$14,A6)</f>
        <v>2</v>
      </c>
      <c r="C6" s="10" t="n">
        <f aca="false">B6/$B$8</f>
        <v>0.2</v>
      </c>
      <c r="D6" s="9" t="s">
        <v>89</v>
      </c>
    </row>
    <row r="7" customFormat="false" ht="15" hidden="false" customHeight="false" outlineLevel="0" collapsed="false">
      <c r="A7" s="9" t="s">
        <v>70</v>
      </c>
      <c r="B7" s="9" t="n">
        <f aca="false">COUNTIF('MoSCoW Matrix'!$G$5:$G$14,A7)</f>
        <v>2</v>
      </c>
      <c r="C7" s="10" t="n">
        <f aca="false">B7/$B$8</f>
        <v>0.2</v>
      </c>
      <c r="D7" s="9" t="s">
        <v>90</v>
      </c>
    </row>
    <row r="8" customFormat="false" ht="15" hidden="false" customHeight="false" outlineLevel="0" collapsed="false">
      <c r="A8" s="11" t="s">
        <v>91</v>
      </c>
      <c r="B8" s="11" t="n">
        <f aca="false">SUM(B4:B7)</f>
        <v>10</v>
      </c>
      <c r="C8" s="12" t="n">
        <f aca="false">SUM(C4:C7)</f>
        <v>1</v>
      </c>
      <c r="D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2"/>
    <col collapsed="false" customWidth="true" hidden="false" outlineLevel="0" max="5" min="5" style="0" width="8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8" t="s">
        <v>92</v>
      </c>
      <c r="B1" s="8" t="s">
        <v>93</v>
      </c>
      <c r="C1" s="8" t="s">
        <v>94</v>
      </c>
      <c r="D1" s="8" t="s">
        <v>95</v>
      </c>
      <c r="E1" s="8" t="s">
        <v>4</v>
      </c>
      <c r="F1" s="8" t="s">
        <v>96</v>
      </c>
    </row>
    <row r="2" customFormat="false" ht="23.85" hidden="false" customHeight="false" outlineLevel="0" collapsed="false">
      <c r="A2" s="13" t="str">
        <f aca="false">'MoSCoW Matrix'!A5&amp;" "&amp;'MoSCoW Matrix'!B5</f>
        <v>REQ-01 Search books by title and author</v>
      </c>
      <c r="B2" s="13" t="s">
        <v>97</v>
      </c>
      <c r="C2" s="13" t="str">
        <f aca="false">IF(LEFT('MoSCoW Matrix'!G5,4)="Must","Highest",IF(LEFT('MoSCoW Matrix'!G5,6)="Should","High",IF(LEFT('MoSCoW Matrix'!G5,5)="Could","Medium","Low")))</f>
        <v>Highest</v>
      </c>
      <c r="D2" s="13" t="str">
        <f aca="false">SUBSTITUTE(SUBSTITUTE(SUBSTITUTE(LEFT('MoSCoW Matrix'!G5,FIND(" ",'MoSCoW Matrix'!G5)-1),"Won't","Wont"),"Must","Must"),"Should","Should")</f>
        <v>Must</v>
      </c>
      <c r="E2" s="13" t="str">
        <f aca="false">'MoSCoW Matrix'!C5&amp;" | Rationale: "&amp;'MoSCoW Matrix'!J5</f>
        <v>Keyword search across catalogue by book title and author name. | Rationale: Highest value and lowest effort. Core function – system cannot launch without it.</v>
      </c>
      <c r="F2" s="13" t="str">
        <f aca="false">'MoSCoW Matrix'!K5</f>
        <v>Release 1 (MVP)</v>
      </c>
    </row>
    <row r="3" customFormat="false" ht="23.85" hidden="false" customHeight="false" outlineLevel="0" collapsed="false">
      <c r="A3" s="13" t="str">
        <f aca="false">'MoSCoW Matrix'!A6&amp;" "&amp;'MoSCoW Matrix'!B6</f>
        <v>REQ-02 Online book reservation system</v>
      </c>
      <c r="B3" s="13" t="s">
        <v>97</v>
      </c>
      <c r="C3" s="13" t="str">
        <f aca="false">IF(LEFT('MoSCoW Matrix'!G6,4)="Must","Highest",IF(LEFT('MoSCoW Matrix'!G6,6)="Should","High",IF(LEFT('MoSCoW Matrix'!G6,5)="Could","Medium","Low")))</f>
        <v>Highest</v>
      </c>
      <c r="D3" s="13" t="str">
        <f aca="false">SUBSTITUTE(SUBSTITUTE(SUBSTITUTE(LEFT('MoSCoW Matrix'!G6,FIND(" ",'MoSCoW Matrix'!G6)-1),"Won't","Wont"),"Must","Must"),"Should","Should")</f>
        <v>Must</v>
      </c>
      <c r="E3" s="13" t="str">
        <f aca="false">'MoSCoW Matrix'!C6&amp;" | Rationale: "&amp;'MoSCoW Matrix'!J6</f>
        <v>Members reserve a book that is out/available and get a hold until pickup. | Rationale: Essential to the library lifecycle (search &gt; reserve &gt; borrow). Needed for a usable MVP.</v>
      </c>
      <c r="F3" s="13" t="str">
        <f aca="false">'MoSCoW Matrix'!K6</f>
        <v>Release 1 (MVP)</v>
      </c>
    </row>
    <row r="4" customFormat="false" ht="23.85" hidden="false" customHeight="false" outlineLevel="0" collapsed="false">
      <c r="A4" s="13" t="str">
        <f aca="false">'MoSCoW Matrix'!A7&amp;" "&amp;'MoSCoW Matrix'!B7</f>
        <v>REQ-03 Email notifications for overdue books</v>
      </c>
      <c r="B4" s="13" t="s">
        <v>97</v>
      </c>
      <c r="C4" s="13" t="str">
        <f aca="false">IF(LEFT('MoSCoW Matrix'!G7,4)="Must","Highest",IF(LEFT('MoSCoW Matrix'!G7,6)="Should","High",IF(LEFT('MoSCoW Matrix'!G7,5)="Could","Medium","Low")))</f>
        <v>Highest</v>
      </c>
      <c r="D4" s="13" t="str">
        <f aca="false">SUBSTITUTE(SUBSTITUTE(SUBSTITUTE(LEFT('MoSCoW Matrix'!G7,FIND(" ",'MoSCoW Matrix'!G7)-1),"Won't","Wont"),"Must","Must"),"Should","Should")</f>
        <v>Must</v>
      </c>
      <c r="E4" s="13" t="str">
        <f aca="false">'MoSCoW Matrix'!C7&amp;" | Rationale: "&amp;'MoSCoW Matrix'!J7</f>
        <v>Automatic emails on due-soon and overdue items. | Rationale: Overdue control is a core business need, and it is cheap to automate. Included in MVP.</v>
      </c>
      <c r="F4" s="13" t="str">
        <f aca="false">'MoSCoW Matrix'!K7</f>
        <v>Release 1 (MVP)</v>
      </c>
    </row>
    <row r="5" customFormat="false" ht="23.85" hidden="false" customHeight="false" outlineLevel="0" collapsed="false">
      <c r="A5" s="13" t="str">
        <f aca="false">'MoSCoW Matrix'!A8&amp;" "&amp;'MoSCoW Matrix'!B8</f>
        <v>REQ-04 Monthly borrowing reports for administrators</v>
      </c>
      <c r="B5" s="13" t="s">
        <v>97</v>
      </c>
      <c r="C5" s="13" t="str">
        <f aca="false">IF(LEFT('MoSCoW Matrix'!G8,4)="Must","Highest",IF(LEFT('MoSCoW Matrix'!G8,6)="Should","High",IF(LEFT('MoSCoW Matrix'!G8,5)="Could","Medium","Low")))</f>
        <v>High</v>
      </c>
      <c r="D5" s="13" t="str">
        <f aca="false">SUBSTITUTE(SUBSTITUTE(SUBSTITUTE(LEFT('MoSCoW Matrix'!G8,FIND(" ",'MoSCoW Matrix'!G8)-1),"Won't","Wont"),"Must","Must"),"Should","Should")</f>
        <v>Should</v>
      </c>
      <c r="E5" s="13" t="str">
        <f aca="false">'MoSCoW Matrix'!C8&amp;" | Rationale: "&amp;'MoSCoW Matrix'!J8</f>
        <v>Auto-generated monthly report of borrowed books (exportable PDF/Excel). | Rationale: Important but depends on borrowing data from Must items. Can be delivered shortly after MVP.</v>
      </c>
      <c r="F5" s="13" t="str">
        <f aca="false">'MoSCoW Matrix'!K8</f>
        <v>Release 2</v>
      </c>
    </row>
    <row r="6" customFormat="false" ht="23.85" hidden="false" customHeight="false" outlineLevel="0" collapsed="false">
      <c r="A6" s="13" t="str">
        <f aca="false">'MoSCoW Matrix'!A9&amp;" "&amp;'MoSCoW Matrix'!B9</f>
        <v>REQ-05 User-friendly dashboard for librarians</v>
      </c>
      <c r="B6" s="13" t="s">
        <v>97</v>
      </c>
      <c r="C6" s="13" t="str">
        <f aca="false">IF(LEFT('MoSCoW Matrix'!G9,4)="Must","Highest",IF(LEFT('MoSCoW Matrix'!G9,6)="Should","High",IF(LEFT('MoSCoW Matrix'!G9,5)="Could","Medium","Low")))</f>
        <v>High</v>
      </c>
      <c r="D6" s="13" t="str">
        <f aca="false">SUBSTITUTE(SUBSTITUTE(SUBSTITUTE(LEFT('MoSCoW Matrix'!G9,FIND(" ",'MoSCoW Matrix'!G9)-1),"Won't","Wont"),"Must","Must"),"Should","Should")</f>
        <v>Should</v>
      </c>
      <c r="E6" s="13" t="str">
        <f aca="false">'MoSCoW Matrix'!C9&amp;" | Rationale: "&amp;'MoSCoW Matrix'!J9</f>
        <v>Single screen showing issues, returns, overdue, reservations, quick actions. | Rationale: Valuable but MVP can use simple admin lists first; full dashboard follows.</v>
      </c>
      <c r="F6" s="13" t="str">
        <f aca="false">'MoSCoW Matrix'!K9</f>
        <v>Release 2</v>
      </c>
    </row>
    <row r="7" customFormat="false" ht="23.85" hidden="false" customHeight="false" outlineLevel="0" collapsed="false">
      <c r="A7" s="13" t="str">
        <f aca="false">'MoSCoW Matrix'!A10&amp;" "&amp;'MoSCoW Matrix'!B10</f>
        <v>REQ-06 QR code scanning for borrowing and returning</v>
      </c>
      <c r="B7" s="13" t="s">
        <v>97</v>
      </c>
      <c r="C7" s="13" t="str">
        <f aca="false">IF(LEFT('MoSCoW Matrix'!G10,4)="Must","Highest",IF(LEFT('MoSCoW Matrix'!G10,6)="Should","High",IF(LEFT('MoSCoW Matrix'!G10,5)="Could","Medium","Low")))</f>
        <v>High</v>
      </c>
      <c r="D7" s="13" t="str">
        <f aca="false">SUBSTITUTE(SUBSTITUTE(SUBSTITUTE(LEFT('MoSCoW Matrix'!G10,FIND(" ",'MoSCoW Matrix'!G10)-1),"Won't","Wont"),"Must","Must"),"Should","Should")</f>
        <v>Should</v>
      </c>
      <c r="E7" s="13" t="str">
        <f aca="false">'MoSCoW Matrix'!C10&amp;" | Rationale: "&amp;'MoSCoW Matrix'!J10</f>
        <v>Scan book/member QR codes to issue and return books. | Rationale: Big efficiency gain, but manual/ID entry works at launch. Schedule after core flows are stable.</v>
      </c>
      <c r="F7" s="13" t="str">
        <f aca="false">'MoSCoW Matrix'!K10</f>
        <v>Release 2</v>
      </c>
    </row>
    <row r="8" customFormat="false" ht="23.85" hidden="false" customHeight="false" outlineLevel="0" collapsed="false">
      <c r="A8" s="13" t="str">
        <f aca="false">'MoSCoW Matrix'!A11&amp;" "&amp;'MoSCoW Matrix'!B11</f>
        <v>REQ-07 Users can review and rate books</v>
      </c>
      <c r="B8" s="13" t="s">
        <v>97</v>
      </c>
      <c r="C8" s="13" t="str">
        <f aca="false">IF(LEFT('MoSCoW Matrix'!G11,4)="Must","Highest",IF(LEFT('MoSCoW Matrix'!G11,6)="Should","High",IF(LEFT('MoSCoW Matrix'!G11,5)="Could","Medium","Low")))</f>
        <v>Medium</v>
      </c>
      <c r="D8" s="13" t="str">
        <f aca="false">SUBSTITUTE(SUBSTITUTE(SUBSTITUTE(LEFT('MoSCoW Matrix'!G11,FIND(" ",'MoSCoW Matrix'!G11)-1),"Won't","Wont"),"Must","Must"),"Should","Should")</f>
        <v>Could</v>
      </c>
      <c r="E8" s="13" t="str">
        <f aca="false">'MoSCoW Matrix'!C11&amp;" | Rationale: "&amp;'MoSCoW Matrix'!J11</f>
        <v>Star ratings and text reviews per book. | Rationale: Nice-to-have; add if time and budget remain after Must/Should items.</v>
      </c>
      <c r="F8" s="13" t="str">
        <f aca="false">'MoSCoW Matrix'!K11</f>
        <v>Release 3</v>
      </c>
    </row>
    <row r="9" customFormat="false" ht="23.85" hidden="false" customHeight="false" outlineLevel="0" collapsed="false">
      <c r="A9" s="13" t="str">
        <f aca="false">'MoSCoW Matrix'!A12&amp;" "&amp;'MoSCoW Matrix'!B12</f>
        <v>REQ-08 Multi-language support</v>
      </c>
      <c r="B9" s="13" t="s">
        <v>97</v>
      </c>
      <c r="C9" s="13" t="str">
        <f aca="false">IF(LEFT('MoSCoW Matrix'!G12,4)="Must","Highest",IF(LEFT('MoSCoW Matrix'!G12,6)="Should","High",IF(LEFT('MoSCoW Matrix'!G12,5)="Could","Medium","Low")))</f>
        <v>Medium</v>
      </c>
      <c r="D9" s="13" t="str">
        <f aca="false">SUBSTITUTE(SUBSTITUTE(SUBSTITUTE(LEFT('MoSCoW Matrix'!G12,FIND(" ",'MoSCoW Matrix'!G12)-1),"Won't","Wont"),"Must","Must"),"Should","Should")</f>
        <v>Could</v>
      </c>
      <c r="E9" s="13" t="str">
        <f aca="false">'MoSCoW Matrix'!C12&amp;" | Rationale: "&amp;'MoSCoW Matrix'!J12</f>
        <v>UI available in multiple languages (e.g. English, Tamil, Hindi). | Rationale: Beneficial but not essential at launch. Build text with i18n keys so it can be added later cheaply.</v>
      </c>
      <c r="F9" s="13" t="str">
        <f aca="false">'MoSCoW Matrix'!K12</f>
        <v>Release 3</v>
      </c>
    </row>
    <row r="10" customFormat="false" ht="23.85" hidden="false" customHeight="false" outlineLevel="0" collapsed="false">
      <c r="A10" s="13" t="str">
        <f aca="false">'MoSCoW Matrix'!A13&amp;" "&amp;'MoSCoW Matrix'!B13</f>
        <v>REQ-09 Chatbot for user assistance</v>
      </c>
      <c r="B10" s="13" t="s">
        <v>97</v>
      </c>
      <c r="C10" s="13" t="str">
        <f aca="false">IF(LEFT('MoSCoW Matrix'!G13,4)="Must","Highest",IF(LEFT('MoSCoW Matrix'!G13,6)="Should","High",IF(LEFT('MoSCoW Matrix'!G13,5)="Could","Medium","Low")))</f>
        <v>Low</v>
      </c>
      <c r="D10" s="13" t="str">
        <f aca="false">SUBSTITUTE(SUBSTITUTE(SUBSTITUTE(LEFT('MoSCoW Matrix'!G13,FIND(" ",'MoSCoW Matrix'!G13)-1),"Won't","Wont"),"Must","Must"),"Should","Should")</f>
        <v>Wont</v>
      </c>
      <c r="E10" s="13" t="str">
        <f aca="false">'MoSCoW Matrix'!C13&amp;" | Rationale: "&amp;'MoSCoW Matrix'!J13</f>
        <v>AI/FAQ chatbot answering member queries. | Rationale: Low impact for high cost. Deferred; revisit once usage data justifies it.</v>
      </c>
      <c r="F10" s="13" t="str">
        <f aca="false">'MoSCoW Matrix'!K13</f>
        <v>Backlog / Future</v>
      </c>
    </row>
    <row r="11" customFormat="false" ht="23.85" hidden="false" customHeight="false" outlineLevel="0" collapsed="false">
      <c r="A11" s="13" t="str">
        <f aca="false">'MoSCoW Matrix'!A14&amp;" "&amp;'MoSCoW Matrix'!B14</f>
        <v>REQ-10 Mobile app version of the system</v>
      </c>
      <c r="B11" s="13" t="s">
        <v>97</v>
      </c>
      <c r="C11" s="13" t="str">
        <f aca="false">IF(LEFT('MoSCoW Matrix'!G14,4)="Must","Highest",IF(LEFT('MoSCoW Matrix'!G14,6)="Should","High",IF(LEFT('MoSCoW Matrix'!G14,5)="Could","Medium","Low")))</f>
        <v>Low</v>
      </c>
      <c r="D11" s="13" t="str">
        <f aca="false">SUBSTITUTE(SUBSTITUTE(SUBSTITUTE(LEFT('MoSCoW Matrix'!G14,FIND(" ",'MoSCoW Matrix'!G14)-1),"Won't","Wont"),"Must","Must"),"Should","Should")</f>
        <v>Wont</v>
      </c>
      <c r="E11" s="13" t="str">
        <f aca="false">'MoSCoW Matrix'!C14&amp;" | Rationale: "&amp;'MoSCoW Matrix'!J14</f>
        <v>Native iOS/Android app. | Rationale: Not feasible within current time/budget. Mitigation: make the web app mobile-responsive; plan app for a later phase.</v>
      </c>
      <c r="F11" s="13" t="str">
        <f aca="false">'MoSCoW Matrix'!K14</f>
        <v>Backlog / Future</v>
      </c>
    </row>
    <row r="13" customFormat="false" ht="15" hidden="false" customHeight="false" outlineLevel="0" collapsed="false">
      <c r="A13" s="1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2026-10-29T04:31:59Z</dcterms:created>
  <dc:creator>openpyxl</dc:creator>
  <dc:description/>
  <dc:language>en-US</dc:language>
  <cp:lastModifiedBy/>
  <dcterms:modified xsi:type="dcterms:W3CDTF">2026-10-29T04:31:59Z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